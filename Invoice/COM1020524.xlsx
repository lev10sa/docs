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5892491-4810-E342-954A-C4E7AF99AD6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D15" i="1"/>
  <c r="G18" i="1"/>
  <c r="H18" i="1"/>
  <c r="G19" i="1"/>
  <c r="H19" i="1"/>
  <c r="G20" i="1"/>
  <c r="H20" i="1"/>
  <c r="H21" i="1"/>
  <c r="H22" i="1"/>
  <c r="H23" i="1"/>
  <c r="H24" i="1"/>
  <c r="G22" i="1"/>
  <c r="G23" i="1"/>
  <c r="G21" i="1"/>
</calcChain>
</file>

<file path=xl/sharedStrings.xml><?xml version="1.0" encoding="utf-8"?>
<sst xmlns="http://schemas.openxmlformats.org/spreadsheetml/2006/main" count="33" uniqueCount="33">
  <si>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</si>
  <si>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</si>
  <si>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</si>
  <si>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</si>
  <si>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</si>
  <si>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</si>
  <si>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</si>
  <si>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</si>
  <si>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</si>
  <si>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</si>
  <si>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</si>
  <si>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</si>
  <si>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</si>
  <si>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</si>
  <si>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</si>
  <si>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</si>
  <si>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</si>
  <si>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</si>
  <si>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</si>
  <si>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</si>
  <si>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</si>
  <si>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</si>
  <si>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</si>
  <si>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Mrs. Ari - TK Santa Maria Cirebon</t>
  </si>
  <si>
    <t>Jl. Sisingamangaraja No. 22 Cirebon</t>
  </si>
  <si>
    <t>COM1020524</t>
  </si>
  <si>
    <t>02318800965</t>
  </si>
  <si>
    <t>Treehouse 1 - Student Book</t>
  </si>
  <si>
    <t>Treehouse 1 - Activity Book</t>
  </si>
  <si>
    <t>Treehouse 2 - Student Book</t>
  </si>
  <si>
    <t>Treehouse 2 - Activity Book</t>
  </si>
  <si>
    <t>Treehouse 3 - Student Book</t>
  </si>
  <si>
    <t>Treehouse 3 - Activity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</si>
</sst>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" fontId="11" fillId="2" borderId="4" xfId="0" applyNumberFormat="1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28</xdr:row>
      <xdr:rowOff>168088</xdr:rowOff>
    </xdr:from>
    <xdr:to>
      <xdr:col>1</xdr:col>
      <xdr:colOff>1356518</xdr:colOff>
      <xdr:row>31</xdr:row>
      <xdr:rowOff>121106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zoomScale="85" zoomScaleNormal="85" workbookViewId="0">
      <selection activeCell="B15" sqref="B15"/>
    </sheetView>
  </sheetViews>
  <sheetFormatPr defaultColWidth="9.01171875" defaultRowHeight="15" x14ac:dyDescent="0.2"/>
  <cols>
    <col min="1" max="1" width="8.609375" style="2" customWidth="1"/>
    <col min="2" max="2" width="43.3164062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25</v>
      </c>
      <c r="F5" s="13" t="s">
        <v>1</v>
      </c>
      <c r="G5" s="27">
        <v>45448</v>
      </c>
    </row>
    <row r="6" spans="1:8" x14ac:dyDescent="0.2">
      <c r="B6" s="45" t="s">
        <v>2</v>
      </c>
      <c r="C6" s="45"/>
      <c r="D6" s="45" t="s">
        <v>3</v>
      </c>
      <c r="E6" s="45"/>
      <c r="F6" s="45"/>
      <c r="G6" s="45"/>
      <c r="H6" s="18"/>
    </row>
    <row r="7" spans="1:8" x14ac:dyDescent="0.2">
      <c r="B7" s="49" t="s">
        <v>23</v>
      </c>
      <c r="C7" s="47"/>
      <c r="D7" s="47" t="s">
        <v>24</v>
      </c>
      <c r="E7" s="47"/>
      <c r="F7" s="47"/>
      <c r="G7" s="47"/>
      <c r="H7" s="18"/>
    </row>
    <row r="8" spans="1:8" x14ac:dyDescent="0.2">
      <c r="B8" s="47"/>
      <c r="C8" s="47"/>
      <c r="D8" s="47"/>
      <c r="E8" s="47"/>
      <c r="F8" s="47"/>
      <c r="G8" s="47"/>
      <c r="H8" s="18"/>
    </row>
    <row r="9" spans="1:8" x14ac:dyDescent="0.2">
      <c r="B9" s="45" t="s">
        <v>4</v>
      </c>
      <c r="C9" s="45"/>
      <c r="D9" s="45" t="s">
        <v>5</v>
      </c>
      <c r="E9" s="45"/>
      <c r="F9" s="45"/>
      <c r="G9" s="45"/>
      <c r="H9" s="18"/>
    </row>
    <row r="10" spans="1:8" x14ac:dyDescent="0.2">
      <c r="B10" s="48"/>
      <c r="C10" s="48"/>
      <c r="D10" s="47"/>
      <c r="E10" s="47"/>
      <c r="F10" s="47"/>
      <c r="G10" s="47"/>
      <c r="H10" s="18"/>
    </row>
    <row r="11" spans="1:8" x14ac:dyDescent="0.2">
      <c r="B11" s="45" t="s">
        <v>6</v>
      </c>
      <c r="C11" s="45"/>
      <c r="D11" s="47"/>
      <c r="E11" s="47"/>
      <c r="F11" s="47"/>
      <c r="G11" s="47"/>
      <c r="H11" s="18"/>
    </row>
    <row r="12" spans="1:8" x14ac:dyDescent="0.2">
      <c r="B12" s="46" t="s">
        <v>26</v>
      </c>
      <c r="C12" s="46"/>
      <c r="D12" s="47"/>
      <c r="E12" s="47"/>
      <c r="F12" s="47"/>
      <c r="G12" s="47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SUM(H18:H23)</f>
        <v>701400</v>
      </c>
      <c r="C15" s="22">
        <v>6</v>
      </c>
      <c r="D15" s="22">
        <f>SUM(D18:D23)</f>
        <v>6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8" t="s">
        <v>9</v>
      </c>
      <c r="C17" s="39" t="s">
        <v>10</v>
      </c>
      <c r="D17" s="39" t="s">
        <v>11</v>
      </c>
      <c r="E17" s="39" t="s">
        <v>18</v>
      </c>
      <c r="F17" s="39" t="s">
        <v>12</v>
      </c>
      <c r="G17" s="39" t="s">
        <v>19</v>
      </c>
      <c r="H17" s="23" t="s">
        <v>21</v>
      </c>
    </row>
    <row r="18" spans="2:8" x14ac:dyDescent="0.2">
      <c r="B18" s="34" t="s">
        <v>27</v>
      </c>
      <c r="C18" s="24">
        <v>9781613527948</v>
      </c>
      <c r="D18" s="35">
        <v>1</v>
      </c>
      <c r="E18" s="25">
        <v>189000</v>
      </c>
      <c r="F18" s="36">
        <v>0.3</v>
      </c>
      <c r="G18" s="25">
        <f>((E18 - (E18*F18)) * 1)</f>
        <v>132300</v>
      </c>
      <c r="H18" s="25">
        <f>((E18 - (E18*F18)) * 1)*(D18)</f>
        <v>132300</v>
      </c>
    </row>
    <row r="19" spans="2:8" x14ac:dyDescent="0.2">
      <c r="B19" s="34" t="s">
        <v>28</v>
      </c>
      <c r="C19" s="24">
        <v>9781613527955</v>
      </c>
      <c r="D19" s="35">
        <v>1</v>
      </c>
      <c r="E19" s="25">
        <v>145000</v>
      </c>
      <c r="F19" s="36">
        <v>0.3</v>
      </c>
      <c r="G19" s="25">
        <f t="shared" ref="G19:G20" si="0">((E19 - (E19*F19)) * 1)</f>
        <v>101500</v>
      </c>
      <c r="H19" s="25">
        <f t="shared" ref="H19:H20" si="1">((E19 - (E19*F19)) * 1)*(D19)</f>
        <v>101500</v>
      </c>
    </row>
    <row r="20" spans="2:8" x14ac:dyDescent="0.2">
      <c r="B20" s="34" t="s">
        <v>29</v>
      </c>
      <c r="C20" s="24">
        <v>9781613527962</v>
      </c>
      <c r="D20" s="35">
        <v>1</v>
      </c>
      <c r="E20" s="25">
        <v>189000</v>
      </c>
      <c r="F20" s="36">
        <v>0.3</v>
      </c>
      <c r="G20" s="25">
        <f t="shared" si="0"/>
        <v>132300</v>
      </c>
      <c r="H20" s="25">
        <f t="shared" si="1"/>
        <v>132300</v>
      </c>
    </row>
    <row r="21" spans="2:8" x14ac:dyDescent="0.2">
      <c r="B21" s="34" t="s">
        <v>30</v>
      </c>
      <c r="C21" s="24">
        <v>9781613527986</v>
      </c>
      <c r="D21" s="35">
        <v>1</v>
      </c>
      <c r="E21" s="25">
        <v>145000</v>
      </c>
      <c r="F21" s="36">
        <v>0.3</v>
      </c>
      <c r="G21" s="25">
        <f>((E21 - (E21*F21)) * 1)</f>
        <v>101500</v>
      </c>
      <c r="H21" s="25">
        <f>((E21 - (E21*F21)) * 1)*(D21)</f>
        <v>101500</v>
      </c>
    </row>
    <row r="22" spans="2:8" x14ac:dyDescent="0.2">
      <c r="B22" s="34" t="s">
        <v>31</v>
      </c>
      <c r="C22" s="24">
        <v>9781613527979</v>
      </c>
      <c r="D22" s="35">
        <v>1</v>
      </c>
      <c r="E22" s="25">
        <v>189000</v>
      </c>
      <c r="F22" s="36">
        <v>0.3</v>
      </c>
      <c r="G22" s="25">
        <f t="shared" ref="G22" si="2">((E22 - (E22*F22)) * 1)</f>
        <v>132300</v>
      </c>
      <c r="H22" s="25">
        <f t="shared" ref="H22:H23" si="3">((E22 - (E22*F22)) * 1)*(D22)</f>
        <v>132300</v>
      </c>
    </row>
    <row r="23" spans="2:8" x14ac:dyDescent="0.2">
      <c r="B23" s="34" t="s">
        <v>32</v>
      </c>
      <c r="C23" s="24">
        <v>9781613527993</v>
      </c>
      <c r="D23" s="35">
        <v>1</v>
      </c>
      <c r="E23" s="25">
        <v>145000</v>
      </c>
      <c r="F23" s="36">
        <v>0.3</v>
      </c>
      <c r="G23" s="25">
        <f t="shared" ref="G23" si="4">((E23 - (E23*F23)) * 1)</f>
        <v>101500</v>
      </c>
      <c r="H23" s="25">
        <f t="shared" si="3"/>
        <v>101500</v>
      </c>
    </row>
    <row r="24" spans="2:8" ht="15.75" customHeight="1" x14ac:dyDescent="0.2">
      <c r="B24" s="11"/>
      <c r="C24" s="12"/>
      <c r="D24" s="12"/>
      <c r="E24" s="15"/>
      <c r="G24" s="37" t="s">
        <v>22</v>
      </c>
      <c r="H24" s="25">
        <f>SUM(H21:H23)</f>
        <v>335300</v>
      </c>
    </row>
    <row r="25" spans="2:8" x14ac:dyDescent="0.2">
      <c r="E25" s="4"/>
      <c r="G25" s="4"/>
    </row>
    <row r="26" spans="2:8" ht="18" customHeight="1" x14ac:dyDescent="0.2">
      <c r="B26" s="28"/>
      <c r="C26" s="29"/>
      <c r="D26" s="29"/>
      <c r="E26" s="29"/>
      <c r="F26" s="29"/>
      <c r="G26" s="29"/>
      <c r="H26" s="30"/>
    </row>
    <row r="27" spans="2:8" ht="21" customHeight="1" x14ac:dyDescent="0.2">
      <c r="B27" s="41" t="s">
        <v>20</v>
      </c>
      <c r="C27" s="40"/>
      <c r="D27" s="40"/>
      <c r="E27" s="40"/>
      <c r="F27" s="40"/>
      <c r="G27" s="40"/>
      <c r="H27" s="32"/>
    </row>
    <row r="28" spans="2:8" ht="15.75" customHeight="1" x14ac:dyDescent="0.2">
      <c r="B28" s="31"/>
      <c r="E28" s="4"/>
      <c r="G28" s="4"/>
      <c r="H28" s="32"/>
    </row>
    <row r="29" spans="2:8" ht="15" customHeight="1" x14ac:dyDescent="0.2">
      <c r="B29" s="33" t="s">
        <v>13</v>
      </c>
      <c r="E29" s="4"/>
      <c r="G29" s="4"/>
      <c r="H29" s="32"/>
    </row>
    <row r="30" spans="2:8" ht="33" customHeight="1" x14ac:dyDescent="0.2">
      <c r="B30" s="31"/>
      <c r="E30" s="4"/>
      <c r="G30" s="4"/>
      <c r="H30" s="32"/>
    </row>
    <row r="31" spans="2:8" ht="33" customHeight="1" x14ac:dyDescent="0.2">
      <c r="B31" s="31"/>
      <c r="E31" s="4"/>
      <c r="G31" s="4"/>
      <c r="H31" s="32"/>
    </row>
    <row r="32" spans="2:8" x14ac:dyDescent="0.2">
      <c r="B32" s="31" t="s">
        <v>14</v>
      </c>
      <c r="C32" s="26"/>
      <c r="D32" s="26"/>
      <c r="E32" s="26"/>
      <c r="F32" s="26"/>
      <c r="G32" s="26"/>
      <c r="H32" s="32"/>
    </row>
    <row r="33" spans="2:8" x14ac:dyDescent="0.2">
      <c r="B33" s="31"/>
      <c r="E33" s="4"/>
      <c r="G33" s="4"/>
      <c r="H33" s="32"/>
    </row>
    <row r="34" spans="2:8" x14ac:dyDescent="0.2">
      <c r="B34" s="42" t="s">
        <v>15</v>
      </c>
      <c r="C34" s="43"/>
      <c r="D34" s="43"/>
      <c r="E34" s="43"/>
      <c r="F34" s="43"/>
      <c r="G34" s="43"/>
      <c r="H34" s="44"/>
    </row>
    <row r="44" spans="2:8" x14ac:dyDescent="0.2">
      <c r="E44" s="4"/>
      <c r="G44" s="4"/>
    </row>
  </sheetData>
  <mergeCells count="11">
    <mergeCell ref="D7:G8"/>
    <mergeCell ref="B7:C8"/>
    <mergeCell ref="B6:C6"/>
    <mergeCell ref="D6:G6"/>
    <mergeCell ref="B9:C9"/>
    <mergeCell ref="D9:G9"/>
    <mergeCell ref="B34:H34"/>
    <mergeCell ref="B11:C11"/>
    <mergeCell ref="B12:C12"/>
    <mergeCell ref="D10:G12"/>
    <mergeCell ref="B10:C10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