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36A21D8-2069-F74E-B11E-95C7816813D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B15" i="1"/>
  <c r="H26" i="1"/>
  <c r="G18" i="1"/>
  <c r="G19" i="1"/>
  <c r="H22" i="1"/>
  <c r="H23" i="1"/>
  <c r="H24" i="1"/>
  <c r="H25" i="1"/>
  <c r="D15" i="1"/>
  <c r="G20" i="1"/>
  <c r="G21" i="1"/>
  <c r="G22" i="1"/>
  <c r="G23" i="1"/>
  <c r="G24" i="1"/>
  <c r="G25" i="1"/>
</calcChain>
</file>

<file path=xl/sharedStrings.xml><?xml version="1.0" encoding="utf-8"?>
<sst xmlns="http://schemas.openxmlformats.org/spreadsheetml/2006/main" count="44" uniqueCount="53">
  <si>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</si>
  <si>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</si>
  <si>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</si>
  <si>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</si>
  <si>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</si>
  <si>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</si>
  <si>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</si>
  <si>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</si>
  <si>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</si>
  <si>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Description of goods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</si>
  <si>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</si>
  <si>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</si>
  <si>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</si>
  <si>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</si>
  <si>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</si>
  <si>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</si>
  <si>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</si>
  <si>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Total Books</t>
  </si>
  <si>
    <t>Unit (Rp.)</t>
  </si>
  <si>
    <t>Amount (Rp.)</t>
  </si>
  <si>
    <t>Transfer to : BCA 4685015898 on behalf PT Solusi Edukasi Gemilang</t>
  </si>
  <si>
    <t>Total (Rp.)</t>
  </si>
  <si>
    <t>Grand Total (Rp.)</t>
  </si>
  <si>
    <t>Boost English 5 - Work Book</t>
  </si>
  <si>
    <t>Boost English 4 - Student Book</t>
  </si>
  <si>
    <t>Boost English 4 - Work Book</t>
  </si>
  <si>
    <t>Boost English 5 - Student Book</t>
  </si>
  <si>
    <t>9781685912819</t>
  </si>
  <si>
    <t>9781685912826</t>
  </si>
  <si>
    <t>9781685912833</t>
  </si>
  <si>
    <t>9781685912840</t>
  </si>
  <si>
    <t>Boost English 1 - Student Book</t>
  </si>
  <si>
    <t>Boost English 1 - Work Book</t>
  </si>
  <si>
    <t>Boost English 2 - Student Book</t>
  </si>
  <si>
    <t>Boost English 2 - Work Book</t>
  </si>
  <si>
    <t>Mr. Septian - English Corner</t>
  </si>
  <si>
    <t>9781685912758</t>
  </si>
  <si>
    <t>9781685912765</t>
  </si>
  <si>
    <t>9781685912772</t>
  </si>
  <si>
    <t>9781685912789</t>
  </si>
  <si>
    <t>081809116701</t>
  </si>
  <si>
    <t>Pakansari No. 45, Jawa Timur, Indonesia.</t>
  </si>
  <si>
    <t>COM1080724</t>
  </si>
  <si>
    <t>20/7/2024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</si>
</sst>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2" x14ac:knownFonts="1">
    <font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36"/>
      <color rgb="FF000000"/>
      <name val="Calibri"/>
      <charset val="134"/>
    </font>
    <font>
      <sz val="16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  <family val="2"/>
    </font>
    <font>
      <u/>
      <sz val="11"/>
      <color theme="10"/>
      <name val="Calibri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center" indent="1"/>
    </xf>
    <xf numFmtId="164" fontId="8" fillId="0" borderId="4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left" vertical="center" indent="2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top"/>
    </xf>
    <xf numFmtId="164" fontId="11" fillId="2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center" indent="1"/>
    </xf>
    <xf numFmtId="0" fontId="11" fillId="2" borderId="4" xfId="0" applyFont="1" applyFill="1" applyBorder="1" applyAlignment="1">
      <alignment horizontal="left" vertical="center" wrapText="1" indent="1"/>
    </xf>
    <xf numFmtId="0" fontId="11" fillId="2" borderId="4" xfId="0" applyFont="1" applyFill="1" applyBorder="1" applyAlignment="1">
      <alignment horizontal="center" vertical="center" wrapText="1"/>
    </xf>
    <xf numFmtId="9" fontId="11" fillId="2" borderId="4" xfId="0" applyNumberFormat="1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indent="1"/>
    </xf>
    <xf numFmtId="0" fontId="8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indent="1"/>
    </xf>
    <xf numFmtId="1" fontId="11" fillId="2" borderId="4" xfId="0" quotePrefix="1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  <xf numFmtId="0" fontId="7" fillId="0" borderId="1" xfId="0" quotePrefix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10" fillId="0" borderId="1" xfId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70010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30</xdr:row>
      <xdr:rowOff>168088</xdr:rowOff>
    </xdr:from>
    <xdr:to>
      <xdr:col>1</xdr:col>
      <xdr:colOff>1356518</xdr:colOff>
      <xdr:row>33</xdr:row>
      <xdr:rowOff>158517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6"/>
  <sheetViews>
    <sheetView tabSelected="1" topLeftCell="A3" zoomScale="85" zoomScaleNormal="85" workbookViewId="0">
      <selection activeCell="G5" sqref="G5"/>
    </sheetView>
  </sheetViews>
  <sheetFormatPr defaultColWidth="9.01171875" defaultRowHeight="15" x14ac:dyDescent="0.2"/>
  <cols>
    <col min="1" max="1" width="8.609375" style="2" customWidth="1"/>
    <col min="2" max="2" width="45.19921875" style="3" customWidth="1"/>
    <col min="3" max="3" width="32.28515625" style="4" customWidth="1"/>
    <col min="4" max="4" width="23.9453125" style="4" customWidth="1"/>
    <col min="5" max="5" width="55.421875" style="5" customWidth="1"/>
    <col min="6" max="6" width="21.7890625" style="4" customWidth="1"/>
    <col min="7" max="7" width="40.48828125" style="5" customWidth="1"/>
    <col min="8" max="8" width="35.51171875" style="2" customWidth="1"/>
  </cols>
  <sheetData>
    <row r="1" spans="1:8" x14ac:dyDescent="0.2">
      <c r="E1" s="4"/>
      <c r="G1" s="6"/>
    </row>
    <row r="2" spans="1:8" x14ac:dyDescent="0.2">
      <c r="E2" s="4"/>
      <c r="G2" s="6"/>
    </row>
    <row r="3" spans="1:8" s="1" customFormat="1" ht="104.25" customHeight="1" x14ac:dyDescent="0.65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 x14ac:dyDescent="0.2">
      <c r="E4" s="4"/>
      <c r="G4" s="4"/>
    </row>
    <row r="5" spans="1:8" x14ac:dyDescent="0.2">
      <c r="B5" s="11"/>
      <c r="C5" s="12"/>
      <c r="D5" s="13" t="s">
        <v>16</v>
      </c>
      <c r="E5" s="14" t="s">
        <v>42</v>
      </c>
      <c r="F5" s="13" t="s">
        <v>1</v>
      </c>
      <c r="G5" s="26" t="s">
        <v>43</v>
      </c>
    </row>
    <row r="6" spans="1:8" x14ac:dyDescent="0.2">
      <c r="B6" s="45" t="s">
        <v>2</v>
      </c>
      <c r="C6" s="45"/>
      <c r="D6" s="45" t="s">
        <v>3</v>
      </c>
      <c r="E6" s="45"/>
      <c r="F6" s="45"/>
      <c r="G6" s="45"/>
      <c r="H6" s="18"/>
    </row>
    <row r="7" spans="1:8" x14ac:dyDescent="0.2">
      <c r="B7" s="49" t="s">
        <v>35</v>
      </c>
      <c r="C7" s="47"/>
      <c r="D7" s="47" t="s">
        <v>41</v>
      </c>
      <c r="E7" s="47"/>
      <c r="F7" s="47"/>
      <c r="G7" s="47"/>
      <c r="H7" s="18"/>
    </row>
    <row r="8" spans="1:8" x14ac:dyDescent="0.2">
      <c r="B8" s="47"/>
      <c r="C8" s="47"/>
      <c r="D8" s="47"/>
      <c r="E8" s="47"/>
      <c r="F8" s="47"/>
      <c r="G8" s="47"/>
      <c r="H8" s="18"/>
    </row>
    <row r="9" spans="1:8" x14ac:dyDescent="0.2">
      <c r="B9" s="45" t="s">
        <v>4</v>
      </c>
      <c r="C9" s="45"/>
      <c r="D9" s="45" t="s">
        <v>5</v>
      </c>
      <c r="E9" s="45"/>
      <c r="F9" s="45"/>
      <c r="G9" s="45"/>
      <c r="H9" s="18"/>
    </row>
    <row r="10" spans="1:8" x14ac:dyDescent="0.2">
      <c r="B10" s="48"/>
      <c r="C10" s="48"/>
      <c r="D10" s="47"/>
      <c r="E10" s="47"/>
      <c r="F10" s="47"/>
      <c r="G10" s="47"/>
      <c r="H10" s="18"/>
    </row>
    <row r="11" spans="1:8" x14ac:dyDescent="0.2">
      <c r="B11" s="45" t="s">
        <v>6</v>
      </c>
      <c r="C11" s="45"/>
      <c r="D11" s="47"/>
      <c r="E11" s="47"/>
      <c r="F11" s="47"/>
      <c r="G11" s="47"/>
      <c r="H11" s="18"/>
    </row>
    <row r="12" spans="1:8" x14ac:dyDescent="0.2">
      <c r="B12" s="46" t="s">
        <v>40</v>
      </c>
      <c r="C12" s="46"/>
      <c r="D12" s="47"/>
      <c r="E12" s="47"/>
      <c r="F12" s="47"/>
      <c r="G12" s="47"/>
      <c r="H12" s="18"/>
    </row>
    <row r="13" spans="1:8" ht="15.75" customHeight="1" x14ac:dyDescent="0.2">
      <c r="B13" s="11"/>
      <c r="C13" s="12"/>
      <c r="D13" s="12"/>
      <c r="E13" s="15"/>
      <c r="F13" s="12"/>
      <c r="G13" s="15"/>
      <c r="H13" s="18"/>
    </row>
    <row r="14" spans="1:8" x14ac:dyDescent="0.2">
      <c r="B14" s="19" t="s">
        <v>7</v>
      </c>
      <c r="C14" s="20" t="s">
        <v>17</v>
      </c>
      <c r="D14" s="20" t="s">
        <v>8</v>
      </c>
      <c r="E14" s="16"/>
      <c r="F14" s="12"/>
      <c r="G14" s="17"/>
      <c r="H14" s="18"/>
    </row>
    <row r="15" spans="1:8" x14ac:dyDescent="0.2">
      <c r="B15" s="21">
        <f>SUM(H18:H25)</f>
        <v>1806000</v>
      </c>
      <c r="C15" s="22">
        <v>8</v>
      </c>
      <c r="D15" s="22">
        <f>SUM(D20:D25)</f>
        <v>12</v>
      </c>
      <c r="E15" s="15"/>
      <c r="F15" s="12"/>
      <c r="G15" s="15"/>
      <c r="H15" s="18"/>
    </row>
    <row r="16" spans="1:8" x14ac:dyDescent="0.2">
      <c r="B16" s="11"/>
      <c r="C16" s="12"/>
      <c r="D16" s="12"/>
      <c r="E16" s="15"/>
      <c r="F16" s="12"/>
      <c r="G16" s="15"/>
      <c r="H16" s="18"/>
    </row>
    <row r="17" spans="2:8" x14ac:dyDescent="0.2">
      <c r="B17" s="37" t="s">
        <v>9</v>
      </c>
      <c r="C17" s="38" t="s">
        <v>10</v>
      </c>
      <c r="D17" s="38" t="s">
        <v>11</v>
      </c>
      <c r="E17" s="38" t="s">
        <v>18</v>
      </c>
      <c r="F17" s="38" t="s">
        <v>12</v>
      </c>
      <c r="G17" s="38" t="s">
        <v>19</v>
      </c>
      <c r="H17" s="23" t="s">
        <v>21</v>
      </c>
    </row>
    <row r="18" spans="2:8" x14ac:dyDescent="0.2">
      <c r="B18" s="33" t="s">
        <v>31</v>
      </c>
      <c r="C18" s="41" t="s">
        <v>36</v>
      </c>
      <c r="D18" s="34">
        <v>4</v>
      </c>
      <c r="E18" s="24">
        <v>140000</v>
      </c>
      <c r="F18" s="35">
        <v>0.3</v>
      </c>
      <c r="G18" s="24">
        <f t="shared" ref="G18:G19" si="0">((E18 - (E18*F18)) * 1)</f>
        <v>98000</v>
      </c>
      <c r="H18" s="24">
        <f t="shared" ref="H18:H19" si="1">((E18 - (E18*F18)) * 1)*(D18)</f>
        <v>392000</v>
      </c>
    </row>
    <row r="19" spans="2:8" x14ac:dyDescent="0.2">
      <c r="B19" s="33" t="s">
        <v>32</v>
      </c>
      <c r="C19" s="41" t="s">
        <v>37</v>
      </c>
      <c r="D19" s="34">
        <v>4</v>
      </c>
      <c r="E19" s="24">
        <v>118000</v>
      </c>
      <c r="F19" s="35">
        <v>0.3</v>
      </c>
      <c r="G19" s="24">
        <f t="shared" si="0"/>
        <v>82600</v>
      </c>
      <c r="H19" s="24">
        <f t="shared" si="1"/>
        <v>330400</v>
      </c>
    </row>
    <row r="20" spans="2:8" x14ac:dyDescent="0.2">
      <c r="B20" s="33" t="s">
        <v>33</v>
      </c>
      <c r="C20" s="41" t="s">
        <v>38</v>
      </c>
      <c r="D20" s="34">
        <v>4</v>
      </c>
      <c r="E20" s="24">
        <v>140000</v>
      </c>
      <c r="F20" s="35">
        <v>0.3</v>
      </c>
      <c r="G20" s="24">
        <f t="shared" ref="G20:G24" si="2">((E20 - (E20*F20)) * 1)</f>
        <v>98000</v>
      </c>
      <c r="H20" s="24">
        <f t="shared" ref="H20:H24" si="3">((E20 - (E20*F20)) * 1)*(D20)</f>
        <v>392000</v>
      </c>
    </row>
    <row r="21" spans="2:8" x14ac:dyDescent="0.2">
      <c r="B21" s="33" t="s">
        <v>34</v>
      </c>
      <c r="C21" s="41" t="s">
        <v>39</v>
      </c>
      <c r="D21" s="34">
        <v>4</v>
      </c>
      <c r="E21" s="24">
        <v>118000</v>
      </c>
      <c r="F21" s="35">
        <v>0.3</v>
      </c>
      <c r="G21" s="24">
        <f t="shared" si="2"/>
        <v>82600</v>
      </c>
      <c r="H21" s="24">
        <f t="shared" si="3"/>
        <v>330400</v>
      </c>
    </row>
    <row r="22" spans="2:8" x14ac:dyDescent="0.2">
      <c r="B22" s="33" t="s">
        <v>24</v>
      </c>
      <c r="C22" s="41" t="s">
        <v>27</v>
      </c>
      <c r="D22" s="34">
        <v>1</v>
      </c>
      <c r="E22" s="24">
        <v>140000</v>
      </c>
      <c r="F22" s="35">
        <v>0.3</v>
      </c>
      <c r="G22" s="24">
        <f t="shared" si="2"/>
        <v>98000</v>
      </c>
      <c r="H22" s="24">
        <f t="shared" si="3"/>
        <v>98000</v>
      </c>
    </row>
    <row r="23" spans="2:8" x14ac:dyDescent="0.2">
      <c r="B23" s="33" t="s">
        <v>25</v>
      </c>
      <c r="C23" s="41" t="s">
        <v>28</v>
      </c>
      <c r="D23" s="34">
        <v>1</v>
      </c>
      <c r="E23" s="24">
        <v>118000</v>
      </c>
      <c r="F23" s="35">
        <v>0.3</v>
      </c>
      <c r="G23" s="24">
        <f t="shared" si="2"/>
        <v>82600</v>
      </c>
      <c r="H23" s="24">
        <f t="shared" si="3"/>
        <v>82600</v>
      </c>
    </row>
    <row r="24" spans="2:8" x14ac:dyDescent="0.2">
      <c r="B24" s="33" t="s">
        <v>26</v>
      </c>
      <c r="C24" s="41" t="s">
        <v>29</v>
      </c>
      <c r="D24" s="34">
        <v>1</v>
      </c>
      <c r="E24" s="24">
        <v>140000</v>
      </c>
      <c r="F24" s="35">
        <v>0.3</v>
      </c>
      <c r="G24" s="24">
        <f t="shared" si="2"/>
        <v>98000</v>
      </c>
      <c r="H24" s="24">
        <f t="shared" si="3"/>
        <v>98000</v>
      </c>
    </row>
    <row r="25" spans="2:8" x14ac:dyDescent="0.2">
      <c r="B25" s="33" t="s">
        <v>23</v>
      </c>
      <c r="C25" s="41" t="s">
        <v>30</v>
      </c>
      <c r="D25" s="34">
        <v>1</v>
      </c>
      <c r="E25" s="24">
        <v>118000</v>
      </c>
      <c r="F25" s="35">
        <v>0.3</v>
      </c>
      <c r="G25" s="24">
        <f>((E25 - (E25*F25)) * 1)</f>
        <v>82600</v>
      </c>
      <c r="H25" s="24">
        <f>((E25 - (E25*F25)) * 1)*(D25)</f>
        <v>82600</v>
      </c>
    </row>
    <row r="26" spans="2:8" ht="15" customHeight="1" x14ac:dyDescent="0.2">
      <c r="G26" s="36" t="s">
        <v>22</v>
      </c>
      <c r="H26" s="24">
        <f>SUM(H18:H25)</f>
        <v>1806000</v>
      </c>
    </row>
    <row r="27" spans="2:8" ht="13.5" customHeight="1" x14ac:dyDescent="0.2"/>
    <row r="28" spans="2:8" ht="15" customHeight="1" x14ac:dyDescent="0.2">
      <c r="B28" s="27"/>
      <c r="C28" s="28"/>
      <c r="D28" s="28"/>
      <c r="E28" s="28"/>
      <c r="F28" s="28"/>
      <c r="G28" s="28"/>
      <c r="H28" s="29"/>
    </row>
    <row r="29" spans="2:8" x14ac:dyDescent="0.2">
      <c r="B29" s="40" t="s">
        <v>20</v>
      </c>
      <c r="C29" s="39"/>
      <c r="D29" s="39"/>
      <c r="E29" s="39"/>
      <c r="F29" s="39"/>
      <c r="G29" s="39"/>
      <c r="H29" s="31"/>
    </row>
    <row r="30" spans="2:8" x14ac:dyDescent="0.2">
      <c r="B30" s="30"/>
      <c r="E30" s="4"/>
      <c r="G30" s="4"/>
      <c r="H30" s="31"/>
    </row>
    <row r="31" spans="2:8" x14ac:dyDescent="0.2">
      <c r="B31" s="32" t="s">
        <v>13</v>
      </c>
      <c r="E31" s="4"/>
      <c r="G31" s="4"/>
      <c r="H31" s="31"/>
    </row>
    <row r="32" spans="2:8" ht="36" customHeight="1" x14ac:dyDescent="0.2">
      <c r="B32" s="30"/>
      <c r="E32" s="4"/>
      <c r="G32" s="4"/>
      <c r="H32" s="31"/>
    </row>
    <row r="33" spans="2:8" ht="27" customHeight="1" x14ac:dyDescent="0.2">
      <c r="B33" s="30"/>
      <c r="E33" s="4"/>
      <c r="G33" s="4"/>
      <c r="H33" s="31"/>
    </row>
    <row r="34" spans="2:8" x14ac:dyDescent="0.2">
      <c r="B34" s="30" t="s">
        <v>14</v>
      </c>
      <c r="C34" s="25"/>
      <c r="D34" s="25"/>
      <c r="E34" s="25"/>
      <c r="F34" s="25"/>
      <c r="G34" s="25"/>
      <c r="H34" s="31"/>
    </row>
    <row r="35" spans="2:8" x14ac:dyDescent="0.2">
      <c r="B35" s="30"/>
      <c r="E35" s="4"/>
      <c r="G35" s="4"/>
      <c r="H35" s="31"/>
    </row>
    <row r="36" spans="2:8" x14ac:dyDescent="0.2">
      <c r="B36" s="42" t="s">
        <v>15</v>
      </c>
      <c r="C36" s="43"/>
      <c r="D36" s="43"/>
      <c r="E36" s="43"/>
      <c r="F36" s="43"/>
      <c r="G36" s="43"/>
      <c r="H36" s="44"/>
    </row>
  </sheetData>
  <mergeCells count="11">
    <mergeCell ref="D7:G8"/>
    <mergeCell ref="B7:C8"/>
    <mergeCell ref="B6:C6"/>
    <mergeCell ref="D6:G6"/>
    <mergeCell ref="B9:C9"/>
    <mergeCell ref="D9:G9"/>
    <mergeCell ref="B36:H36"/>
    <mergeCell ref="B11:C11"/>
    <mergeCell ref="B12:C12"/>
    <mergeCell ref="D10:G12"/>
    <mergeCell ref="B10:C10"/>
  </mergeCells>
  <pageMargins left="0.25" right="0.25" top="0.75" bottom="0.75" header="0.3" footer="0.3"/>
  <pageSetup paperSize="9" scale="71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2024-03-15T23:38:00Z</cp:lastPrinted>
  <dcterms:created xsi:type="dcterms:W3CDTF">2023-07-26T09:32:00Z</dcterms:created>
  <dcterms:modified xsi:type="dcterms:W3CDTF">2024-06-19T03:16:15Z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