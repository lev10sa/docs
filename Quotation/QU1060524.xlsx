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E5605F5-8A4D-C746-A551-D9C4AE4B7E7D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5" i="1"/>
  <c r="J26" i="1"/>
  <c r="J27" i="1"/>
  <c r="I28" i="1"/>
  <c r="I25" i="1"/>
  <c r="I26" i="1"/>
  <c r="I27" i="1"/>
  <c r="I2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<sst xmlns="http://schemas.openxmlformats.org/spreadsheetml/2006/main" count="44" uniqueCount="54">
  <si>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</si>
  <si>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</si>
  <si>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</si>
  <si>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</si>
  <si>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Perihal</t>
  </si>
  <si>
    <t>Kepada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</si>
  <si>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</si>
  <si>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</si>
  <si>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</si>
  <si>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</si>
  <si>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</si>
  <si>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</si>
  <si>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</si>
  <si>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</si>
  <si>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</si>
  <si>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</si>
  <si>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</si>
  <si>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</si>
  <si>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</si>
  <si>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</si>
  <si>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</si>
  <si>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</si>
  <si>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</si>
  <si>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Terima kasih atas perhatian dan kepercayaan anda.</t>
  </si>
  <si>
    <t>Hormat kami,</t>
  </si>
  <si>
    <t>Sales &amp; Marketing - PT Solusi Edukasi Gemilang</t>
  </si>
  <si>
    <t>Disetujui oleh,</t>
  </si>
  <si>
    <t>Universitas Kristen Duta Wacana Yogyakarta</t>
  </si>
  <si>
    <t>Mohon segera konfirmasi apakah anda akan melakukan pemesanan pada judul buku/barang diatas.</t>
  </si>
  <si>
    <t>Dengan senang hati kami akan menghubungi anda jika diperlukan informasi lebih lanjut terkait pemesanan.</t>
  </si>
  <si>
    <t>Jika anda setuju, silakan ajukan judul buku/barang dan jumlah yang hendak dipesan.</t>
  </si>
  <si>
    <t>Bapak Johanes</t>
  </si>
  <si>
    <t>Tri Cahyo Budihardjo</t>
  </si>
  <si>
    <t>Tanggal</t>
  </si>
  <si>
    <t>QU1060524</t>
  </si>
  <si>
    <t>27/5/2024</t>
  </si>
  <si>
    <t>YPK Gamaliel Palu</t>
  </si>
  <si>
    <t>Yth. Ms. Nancy</t>
  </si>
  <si>
    <t>South Lolu, Palu, Central Sulawesi, Indonesia.</t>
  </si>
  <si>
    <t>No. Telp: 082245677405</t>
  </si>
  <si>
    <t>Odyssey 3 - Student Book and Workbook</t>
  </si>
  <si>
    <t>Odyssey 4 - Student Book and Workbook</t>
  </si>
  <si>
    <t>Odyssey 5 - Student Book and Workbook</t>
  </si>
  <si>
    <t>Logistics 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</si>
</sst>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5" fillId="0" borderId="2" xfId="1" applyFont="1" applyBorder="1" applyAlignment="1">
      <alignment horizontal="left" vertical="center" indent="3"/>
    </xf>
    <xf numFmtId="9" fontId="1" fillId="0" borderId="5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 indent="3"/>
    </xf>
    <xf numFmtId="0" fontId="4" fillId="0" borderId="0" xfId="0" applyFont="1" applyBorder="1" applyAlignment="1">
      <alignment horizontal="left" indent="3"/>
    </xf>
    <xf numFmtId="14" fontId="1" fillId="0" borderId="0" xfId="0" applyNumberFormat="1" applyFont="1" applyAlignment="1">
      <alignment horizontal="left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styles" Target="styles.xml" /><Relationship Id="rId7" Type="http://schemas.microsoft.com/office/2017/06/relationships/rdRichValue" Target="richData/rdrichvalue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0/relationships/richValueRel" Target="richData/richValueRel.xml" /><Relationship Id="rId5" Type="http://schemas.openxmlformats.org/officeDocument/2006/relationships/sheetMetadata" Target="metadata.xml" /><Relationship Id="rId10" Type="http://schemas.openxmlformats.org/officeDocument/2006/relationships/calcChain" Target="calcChain.xml" /><Relationship Id="rId4" Type="http://schemas.openxmlformats.org/officeDocument/2006/relationships/sharedStrings" Target="sharedStrings.xml" /><Relationship Id="rId9" Type="http://schemas.microsoft.com/office/2017/06/relationships/rdRichValueTypes" Target="richData/rdRichValueTypes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nagement@compasspubindonesi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50"/>
  <sheetViews>
    <sheetView tabSelected="1" workbookViewId="0">
      <selection activeCell="F26" sqref="F26"/>
    </sheetView>
  </sheetViews>
  <sheetFormatPr defaultColWidth="9.14453125" defaultRowHeight="16.5" x14ac:dyDescent="0.2"/>
  <cols>
    <col min="1" max="2" width="9.14453125" style="1" customWidth="1"/>
    <col min="3" max="3" width="14.52734375" style="1" customWidth="1"/>
    <col min="4" max="4" width="56.5" style="1" customWidth="1"/>
    <col min="5" max="5" width="19.90625" style="1" customWidth="1"/>
    <col min="6" max="6" width="20.17578125" style="1" customWidth="1"/>
    <col min="7" max="7" width="18.96484375" style="1" customWidth="1"/>
    <col min="8" max="8" width="9.68359375" style="1" customWidth="1"/>
    <col min="9" max="9" width="16.6796875" style="1" customWidth="1"/>
    <col min="10" max="10" width="15.6015625" style="1" customWidth="1"/>
    <col min="11" max="16384" width="9.14453125" style="1"/>
  </cols>
  <sheetData>
    <row r="2" spans="2:13" x14ac:dyDescent="0.2">
      <c r="B2" s="8"/>
      <c r="C2" s="17"/>
      <c r="D2" s="8"/>
      <c r="E2" s="8"/>
      <c r="F2" s="8"/>
      <c r="G2" s="8"/>
      <c r="H2" s="8"/>
      <c r="I2" s="8"/>
    </row>
    <row r="3" spans="2:13" ht="28.5" customHeight="1" x14ac:dyDescent="0.35">
      <c r="B3" s="30" t="e" vm="1">
        <v>#VALUE!</v>
      </c>
      <c r="C3" s="31"/>
      <c r="D3" s="23" t="s">
        <v>0</v>
      </c>
      <c r="E3" s="19"/>
      <c r="F3" s="19"/>
      <c r="G3" s="3"/>
      <c r="H3" s="5"/>
      <c r="I3" s="5"/>
      <c r="J3" s="5"/>
      <c r="K3" s="5"/>
      <c r="L3" s="5"/>
      <c r="M3" s="5"/>
    </row>
    <row r="4" spans="2:13" ht="28.5" customHeight="1" x14ac:dyDescent="0.2">
      <c r="B4" s="30"/>
      <c r="C4" s="31"/>
      <c r="D4" s="27" t="s">
        <v>1</v>
      </c>
      <c r="E4" s="28"/>
      <c r="F4" s="28"/>
      <c r="G4" s="28"/>
      <c r="H4" s="11"/>
      <c r="I4" s="11"/>
      <c r="J4" s="11"/>
      <c r="K4" s="4"/>
      <c r="L4" s="4"/>
      <c r="M4" s="4"/>
    </row>
    <row r="5" spans="2:13" ht="28.5" customHeight="1" x14ac:dyDescent="0.2">
      <c r="B5" s="32"/>
      <c r="C5" s="33"/>
      <c r="D5" s="22" t="s">
        <v>2</v>
      </c>
      <c r="E5" s="20"/>
      <c r="F5" s="20"/>
      <c r="G5" s="9"/>
      <c r="H5" s="10"/>
      <c r="I5" s="10"/>
      <c r="J5" s="10"/>
      <c r="K5" s="6"/>
      <c r="L5" s="6"/>
      <c r="M5" s="6"/>
    </row>
    <row r="8" spans="2:13" x14ac:dyDescent="0.2">
      <c r="B8" s="29" t="s">
        <v>15</v>
      </c>
      <c r="C8" s="29"/>
      <c r="D8" s="1" t="s">
        <v>34</v>
      </c>
    </row>
    <row r="9" spans="2:13" x14ac:dyDescent="0.2">
      <c r="B9" s="29" t="s">
        <v>33</v>
      </c>
      <c r="C9" s="29"/>
      <c r="D9" s="24" t="s">
        <v>35</v>
      </c>
    </row>
    <row r="10" spans="2:13" x14ac:dyDescent="0.2">
      <c r="B10" s="29" t="s">
        <v>4</v>
      </c>
      <c r="C10" s="29"/>
      <c r="D10" s="2" t="s">
        <v>6</v>
      </c>
    </row>
    <row r="13" spans="2:13" x14ac:dyDescent="0.2">
      <c r="B13" s="1" t="s">
        <v>5</v>
      </c>
    </row>
    <row r="14" spans="2:13" x14ac:dyDescent="0.2">
      <c r="B14" s="1" t="s">
        <v>37</v>
      </c>
    </row>
    <row r="15" spans="2:13" x14ac:dyDescent="0.2">
      <c r="B15" s="2" t="s">
        <v>36</v>
      </c>
    </row>
    <row r="16" spans="2:13" x14ac:dyDescent="0.2">
      <c r="B16" s="1" t="s">
        <v>38</v>
      </c>
    </row>
    <row r="17" spans="2:10" x14ac:dyDescent="0.2">
      <c r="B17" s="1" t="s">
        <v>39</v>
      </c>
    </row>
    <row r="20" spans="2:10" x14ac:dyDescent="0.2">
      <c r="B20" s="1" t="s">
        <v>7</v>
      </c>
    </row>
    <row r="21" spans="2:10" x14ac:dyDescent="0.2">
      <c r="B21" s="1" t="s">
        <v>14</v>
      </c>
    </row>
    <row r="23" spans="2:10" x14ac:dyDescent="0.2">
      <c r="B23" s="16" t="s">
        <v>3</v>
      </c>
      <c r="C23" s="34" t="s">
        <v>13</v>
      </c>
      <c r="D23" s="35"/>
      <c r="E23" s="16" t="s">
        <v>8</v>
      </c>
      <c r="F23" s="16" t="s">
        <v>9</v>
      </c>
      <c r="G23" s="16" t="s">
        <v>11</v>
      </c>
      <c r="H23" s="16" t="s">
        <v>22</v>
      </c>
      <c r="I23" s="16" t="s">
        <v>12</v>
      </c>
      <c r="J23" s="16" t="s">
        <v>10</v>
      </c>
    </row>
    <row r="24" spans="2:10" x14ac:dyDescent="0.2">
      <c r="B24" s="7">
        <v>1</v>
      </c>
      <c r="C24" s="18" t="s">
        <v>40</v>
      </c>
      <c r="D24" s="18"/>
      <c r="E24" s="13">
        <v>9781640155992</v>
      </c>
      <c r="F24" s="7">
        <v>30</v>
      </c>
      <c r="G24" s="12">
        <v>125000</v>
      </c>
      <c r="H24" s="21">
        <v>0.35</v>
      </c>
      <c r="I24" s="12">
        <f>(G24-(G24*H24))</f>
        <v>81250</v>
      </c>
      <c r="J24" s="12">
        <f>(G24-(G24*H24))*(F24)</f>
        <v>2437500</v>
      </c>
    </row>
    <row r="25" spans="2:10" x14ac:dyDescent="0.2">
      <c r="B25" s="7">
        <v>2</v>
      </c>
      <c r="C25" s="18" t="s">
        <v>41</v>
      </c>
      <c r="D25" s="18"/>
      <c r="E25" s="13">
        <v>9781640156005</v>
      </c>
      <c r="F25" s="7">
        <v>20</v>
      </c>
      <c r="G25" s="12">
        <v>125000</v>
      </c>
      <c r="H25" s="21">
        <v>0.35</v>
      </c>
      <c r="I25" s="12">
        <f t="shared" ref="I25:I27" si="0">(G25-(G25*H25))</f>
        <v>81250</v>
      </c>
      <c r="J25" s="12">
        <f t="shared" ref="J25:J27" si="1">(G25-(G25*H25))*(F25)</f>
        <v>1625000</v>
      </c>
    </row>
    <row r="26" spans="2:10" x14ac:dyDescent="0.2">
      <c r="B26" s="7">
        <v>3</v>
      </c>
      <c r="C26" s="18" t="s">
        <v>42</v>
      </c>
      <c r="D26" s="18"/>
      <c r="E26" s="13">
        <v>9781640156012</v>
      </c>
      <c r="F26" s="7">
        <v>20</v>
      </c>
      <c r="G26" s="12">
        <v>125000</v>
      </c>
      <c r="H26" s="21">
        <v>0.35</v>
      </c>
      <c r="I26" s="12">
        <f t="shared" si="0"/>
        <v>81250</v>
      </c>
      <c r="J26" s="12">
        <f t="shared" si="1"/>
        <v>1625000</v>
      </c>
    </row>
    <row r="27" spans="2:10" x14ac:dyDescent="0.2">
      <c r="B27" s="7">
        <v>4</v>
      </c>
      <c r="C27" s="18" t="s">
        <v>43</v>
      </c>
      <c r="D27" s="18"/>
      <c r="E27" s="13"/>
      <c r="F27" s="7">
        <v>1</v>
      </c>
      <c r="G27" s="12">
        <v>1140000</v>
      </c>
      <c r="H27" s="21"/>
      <c r="I27" s="12">
        <f t="shared" si="0"/>
        <v>1140000</v>
      </c>
      <c r="J27" s="12">
        <f t="shared" si="1"/>
        <v>1140000</v>
      </c>
    </row>
    <row r="28" spans="2:10" x14ac:dyDescent="0.2">
      <c r="G28" s="34" t="s">
        <v>16</v>
      </c>
      <c r="H28" s="35"/>
      <c r="I28" s="25">
        <f>SUM(J24:J27)</f>
        <v>6827500</v>
      </c>
      <c r="J28" s="26"/>
    </row>
    <row r="30" spans="2:10" x14ac:dyDescent="0.2">
      <c r="B30" s="14" t="s">
        <v>17</v>
      </c>
    </row>
    <row r="31" spans="2:10" x14ac:dyDescent="0.2">
      <c r="B31" s="1" t="s">
        <v>18</v>
      </c>
    </row>
    <row r="32" spans="2:10" x14ac:dyDescent="0.2">
      <c r="B32" s="1" t="s">
        <v>19</v>
      </c>
    </row>
    <row r="33" spans="2:9" x14ac:dyDescent="0.2">
      <c r="B33" s="2" t="s">
        <v>20</v>
      </c>
    </row>
    <row r="34" spans="2:9" x14ac:dyDescent="0.2">
      <c r="B34" s="15" t="s">
        <v>21</v>
      </c>
    </row>
    <row r="37" spans="2:9" x14ac:dyDescent="0.2">
      <c r="B37" s="1" t="s">
        <v>28</v>
      </c>
    </row>
    <row r="38" spans="2:9" x14ac:dyDescent="0.2">
      <c r="B38" s="1" t="s">
        <v>29</v>
      </c>
    </row>
    <row r="39" spans="2:9" x14ac:dyDescent="0.2">
      <c r="B39" s="1" t="s">
        <v>30</v>
      </c>
    </row>
    <row r="41" spans="2:9" x14ac:dyDescent="0.2">
      <c r="B41" s="1" t="s">
        <v>23</v>
      </c>
    </row>
    <row r="45" spans="2:9" x14ac:dyDescent="0.2">
      <c r="B45" s="1" t="s">
        <v>24</v>
      </c>
      <c r="H45" s="1" t="s">
        <v>26</v>
      </c>
    </row>
    <row r="48" spans="2:9" x14ac:dyDescent="0.2">
      <c r="I48" s="17"/>
    </row>
    <row r="49" spans="2:8" x14ac:dyDescent="0.2">
      <c r="B49" s="17" t="s">
        <v>32</v>
      </c>
      <c r="C49" s="17"/>
      <c r="D49" s="8"/>
      <c r="H49" s="17" t="s">
        <v>31</v>
      </c>
    </row>
    <row r="50" spans="2:8" x14ac:dyDescent="0.2">
      <c r="B50" s="17" t="s">
        <v>25</v>
      </c>
      <c r="C50" s="17"/>
      <c r="H50" s="1" t="s">
        <v>27</v>
      </c>
    </row>
  </sheetData>
  <mergeCells count="8">
    <mergeCell ref="I28:J28"/>
    <mergeCell ref="D4:G4"/>
    <mergeCell ref="B9:C9"/>
    <mergeCell ref="B10:C10"/>
    <mergeCell ref="B3:C5"/>
    <mergeCell ref="B8:C8"/>
    <mergeCell ref="C23:D23"/>
    <mergeCell ref="G28:H28"/>
  </mergeCells>
  <phoneticPr fontId="9" alignment="center"/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