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241B882-42DC-004C-AD26-69741E23F628}" xr6:coauthVersionLast="47" xr6:coauthVersionMax="47" xr10:uidLastSave="{00000000-0000-0000-0000-000000000000}"/>
  <bookViews>
    <workbookView xWindow="-120" yWindow="-120" windowWidth="20730" windowHeight="11760" xr2:uid="{D4E3F837-A07E-425D-8903-031A5E95E0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J34" i="1"/>
  <c r="J35" i="1"/>
  <c r="I34" i="1"/>
  <c r="I35" i="1"/>
  <c r="J33" i="1"/>
  <c r="I3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<sst xmlns="http://schemas.openxmlformats.org/spreadsheetml/2006/main" count="52" uniqueCount="52">
  <si>
    <t>PT. Solusi Edukasi Gemilang</t>
  </si>
  <si>
    <t>18 Office Park Building, 21th floor Unit C, Jl. TB. Simatupang No. 18, Kec. Pasar Minggu, Jakarta Selatan, Indonesia.</t>
  </si>
  <si>
    <t>management@compasspubindonesia.com</t>
  </si>
  <si>
    <t>No.</t>
  </si>
  <si>
    <t>Perihal</t>
  </si>
  <si>
    <t>Kepada</t>
  </si>
  <si>
    <t>Penawaran Harga</t>
  </si>
  <si>
    <t>Dengan hormat,</t>
  </si>
  <si>
    <t>ISBN</t>
  </si>
  <si>
    <t>Qty</t>
  </si>
  <si>
    <t>Jumlah</t>
  </si>
  <si>
    <t>Harga/Unit (Rp.)</t>
  </si>
  <si>
    <t>Harga Net (Rp.)</t>
  </si>
  <si>
    <t>Nama Barang</t>
  </si>
  <si>
    <t>kami tampilkan Daftar Harga terbaru untuk beberapa judul buku/barang sebagai berikut:</t>
  </si>
  <si>
    <t>Nomor</t>
  </si>
  <si>
    <t>Total (Rp.)</t>
  </si>
  <si>
    <t>Syarat Penawaran</t>
  </si>
  <si>
    <t>1. Cara Pembayaran :</t>
  </si>
  <si>
    <t>Pembayaran dapat dilakukan dengan transfer via</t>
  </si>
  <si>
    <t>BCA - PT Solusi Edukasi Gemilang : 4685015898</t>
  </si>
  <si>
    <r>
      <t xml:space="preserve">2. Tidak berlaku sistem </t>
    </r>
    <r>
      <rPr>
        <b/>
        <sz val="12"/>
        <color theme="1"/>
        <rFont val="Aptos Narrow"/>
        <family val="2"/>
        <scheme val="minor"/>
      </rPr>
      <t>RETUR</t>
    </r>
  </si>
  <si>
    <t>Disc (%)</t>
  </si>
  <si>
    <t>Terima kasih atas perhatian dan kepercayaan anda.</t>
  </si>
  <si>
    <t>Hormat kami,</t>
  </si>
  <si>
    <t>Sales &amp; Marketing - PT Solusi Edukasi Gemilang</t>
  </si>
  <si>
    <t>Disetujui oleh,</t>
  </si>
  <si>
    <t>Universitas Kristen Duta Wacana Yogyakarta</t>
  </si>
  <si>
    <t>Mohon segera konfirmasi apakah anda akan melakukan pemesanan pada judul buku/barang diatas.</t>
  </si>
  <si>
    <t>Dengan senang hati kami akan menghubungi anda jika diperlukan informasi lebih lanjut terkait pemesanan.</t>
  </si>
  <si>
    <t>Jika anda setuju, silakan ajukan judul buku/barang dan jumlah yang hendak dipesan.</t>
  </si>
  <si>
    <t>Bapak Johanes</t>
  </si>
  <si>
    <t>Tanggal</t>
  </si>
  <si>
    <t>Tulus Setiawan Sihombing</t>
  </si>
  <si>
    <t>QU1020624</t>
  </si>
  <si>
    <t>24/6/2024</t>
  </si>
  <si>
    <t>Yth. Mrs. Siti</t>
  </si>
  <si>
    <t>ICEO</t>
  </si>
  <si>
    <t>Komp. Setrasari Megasquare A-8 Lt. 2, Bandung, Jawa Barat, Indonesia.</t>
  </si>
  <si>
    <t>No. Telp: 02282000928</t>
  </si>
  <si>
    <t>Ni Hao Chinese 1 Student Book + Workbook</t>
  </si>
  <si>
    <t>Way to Go! Junior Chinese 1 Student Book</t>
  </si>
  <si>
    <t>Way to Go! Junior Chinese 1 Work Book</t>
  </si>
  <si>
    <t>Way to Go! Junior Chinese 2 Work Book</t>
  </si>
  <si>
    <t>Way to Go! Junior Chinese 3 Work Book</t>
  </si>
  <si>
    <t>Way to Go! Junior Chinese 3 Student Book</t>
  </si>
  <si>
    <t>Way to Go! Junior Chinese 2 Student Book</t>
  </si>
  <si>
    <t>Ni Hao Chinese 6 Student Book + Workbook</t>
  </si>
  <si>
    <t>Ni Hao Chinese 5 Student Book + Workbook</t>
  </si>
  <si>
    <t>Ni Hao Chinese 4 Student Book + Workbook</t>
  </si>
  <si>
    <t>Ni Hao Chinese 3 Student Book + Workbook</t>
  </si>
  <si>
    <t>Ni Hao Chinese 2 Student Book +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</si>
</sst>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_-[$Rp-3809]* #,##0_-;\-[$Rp-3809]* #,##0_-;_-[$Rp-3809]* &quot;-&quot;_-;_-@_-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 indent="1"/>
    </xf>
    <xf numFmtId="0" fontId="6" fillId="0" borderId="0" xfId="0" applyFont="1" applyBorder="1" applyAlignment="1"/>
    <xf numFmtId="0" fontId="4" fillId="0" borderId="0" xfId="0" applyFont="1" applyBorder="1" applyAlignment="1">
      <alignment vertical="center"/>
    </xf>
    <xf numFmtId="0" fontId="7" fillId="0" borderId="0" xfId="1" applyFont="1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indent="1"/>
    </xf>
    <xf numFmtId="0" fontId="5" fillId="0" borderId="2" xfId="1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indent="2"/>
    </xf>
    <xf numFmtId="0" fontId="5" fillId="0" borderId="2" xfId="1" applyFont="1" applyBorder="1" applyAlignment="1">
      <alignment horizontal="left" vertical="center" indent="3"/>
    </xf>
    <xf numFmtId="0" fontId="2" fillId="0" borderId="7" xfId="0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top" indent="3"/>
    </xf>
    <xf numFmtId="0" fontId="4" fillId="0" borderId="0" xfId="0" applyFont="1" applyBorder="1" applyAlignment="1">
      <alignment horizontal="left" indent="3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 indent="3"/>
    </xf>
    <xf numFmtId="0" fontId="1" fillId="0" borderId="0" xfId="0" applyFont="1" applyBorder="1" applyAlignment="1">
      <alignment horizontal="left" vertical="center" wrapText="1" indent="3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 /><Relationship Id="rId3" Type="http://schemas.openxmlformats.org/officeDocument/2006/relationships/styles" Target="styles.xml" /><Relationship Id="rId7" Type="http://schemas.microsoft.com/office/2017/06/relationships/rdRichValue" Target="richData/rdrichvalue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microsoft.com/office/2022/10/relationships/richValueRel" Target="richData/richValueRel.xml" /><Relationship Id="rId5" Type="http://schemas.openxmlformats.org/officeDocument/2006/relationships/sheetMetadata" Target="metadata.xml" /><Relationship Id="rId10" Type="http://schemas.openxmlformats.org/officeDocument/2006/relationships/calcChain" Target="calcChain.xml" /><Relationship Id="rId4" Type="http://schemas.openxmlformats.org/officeDocument/2006/relationships/sharedStrings" Target="sharedStrings.xml" /><Relationship Id="rId9" Type="http://schemas.microsoft.com/office/2017/06/relationships/rdRichValueTypes" Target="richData/rdRichValueTypes.xml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20230602_141805_0000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management@compasspubindonesia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B09-8FDD-4EB2-9338-7D7AE799BE23}">
  <sheetPr>
    <pageSetUpPr fitToPage="1"/>
  </sheetPr>
  <dimension ref="B2:M58"/>
  <sheetViews>
    <sheetView tabSelected="1" topLeftCell="A2" workbookViewId="0">
      <selection activeCell="I36" sqref="I36:J36"/>
    </sheetView>
  </sheetViews>
  <sheetFormatPr defaultColWidth="9.14453125" defaultRowHeight="16.5" x14ac:dyDescent="0.2"/>
  <cols>
    <col min="1" max="2" width="9.14453125" style="1" customWidth="1"/>
    <col min="3" max="3" width="14.52734375" style="1" customWidth="1"/>
    <col min="4" max="4" width="56.5" style="1" customWidth="1"/>
    <col min="5" max="5" width="19.90625" style="1" customWidth="1"/>
    <col min="6" max="6" width="20.17578125" style="1" customWidth="1"/>
    <col min="7" max="7" width="18.96484375" style="1" customWidth="1"/>
    <col min="8" max="8" width="9.68359375" style="1" customWidth="1"/>
    <col min="9" max="9" width="16.6796875" style="1" customWidth="1"/>
    <col min="10" max="10" width="15.6015625" style="1" customWidth="1"/>
    <col min="11" max="16384" width="9.14453125" style="1"/>
  </cols>
  <sheetData>
    <row r="2" spans="2:13" x14ac:dyDescent="0.2">
      <c r="B2" s="8"/>
      <c r="C2" s="17"/>
      <c r="D2" s="8"/>
      <c r="E2" s="8"/>
      <c r="F2" s="8"/>
      <c r="G2" s="8"/>
      <c r="H2" s="8"/>
      <c r="I2" s="8"/>
    </row>
    <row r="3" spans="2:13" ht="28.5" customHeight="1" x14ac:dyDescent="0.35">
      <c r="B3" s="30" t="e" vm="1">
        <v>#VALUE!</v>
      </c>
      <c r="C3" s="31"/>
      <c r="D3" s="24" t="s">
        <v>0</v>
      </c>
      <c r="E3" s="19"/>
      <c r="F3" s="19"/>
      <c r="G3" s="3"/>
      <c r="H3" s="5"/>
      <c r="I3" s="5"/>
      <c r="J3" s="5"/>
      <c r="K3" s="5"/>
      <c r="L3" s="5"/>
      <c r="M3" s="5"/>
    </row>
    <row r="4" spans="2:13" ht="28.5" customHeight="1" x14ac:dyDescent="0.2">
      <c r="B4" s="30"/>
      <c r="C4" s="31"/>
      <c r="D4" s="27" t="s">
        <v>1</v>
      </c>
      <c r="E4" s="28"/>
      <c r="F4" s="28"/>
      <c r="G4" s="28"/>
      <c r="H4" s="11"/>
      <c r="I4" s="11"/>
      <c r="J4" s="11"/>
      <c r="K4" s="4"/>
      <c r="L4" s="4"/>
      <c r="M4" s="4"/>
    </row>
    <row r="5" spans="2:13" ht="28.5" customHeight="1" x14ac:dyDescent="0.2">
      <c r="B5" s="32"/>
      <c r="C5" s="33"/>
      <c r="D5" s="23" t="s">
        <v>2</v>
      </c>
      <c r="E5" s="20"/>
      <c r="F5" s="20"/>
      <c r="G5" s="9"/>
      <c r="H5" s="10"/>
      <c r="I5" s="10"/>
      <c r="J5" s="10"/>
      <c r="K5" s="6"/>
      <c r="L5" s="6"/>
      <c r="M5" s="6"/>
    </row>
    <row r="8" spans="2:13" x14ac:dyDescent="0.2">
      <c r="B8" s="29" t="s">
        <v>15</v>
      </c>
      <c r="C8" s="29"/>
      <c r="D8" s="1" t="s">
        <v>34</v>
      </c>
    </row>
    <row r="9" spans="2:13" x14ac:dyDescent="0.2">
      <c r="B9" s="29" t="s">
        <v>32</v>
      </c>
      <c r="C9" s="29"/>
      <c r="D9" s="36" t="s">
        <v>35</v>
      </c>
    </row>
    <row r="10" spans="2:13" x14ac:dyDescent="0.2">
      <c r="B10" s="29" t="s">
        <v>4</v>
      </c>
      <c r="C10" s="29"/>
      <c r="D10" s="2" t="s">
        <v>6</v>
      </c>
    </row>
    <row r="13" spans="2:13" x14ac:dyDescent="0.2">
      <c r="B13" s="1" t="s">
        <v>5</v>
      </c>
    </row>
    <row r="14" spans="2:13" x14ac:dyDescent="0.2">
      <c r="B14" s="1" t="s">
        <v>36</v>
      </c>
    </row>
    <row r="15" spans="2:13" x14ac:dyDescent="0.2">
      <c r="B15" s="2" t="s">
        <v>37</v>
      </c>
    </row>
    <row r="16" spans="2:13" x14ac:dyDescent="0.2">
      <c r="B16" s="1" t="s">
        <v>38</v>
      </c>
    </row>
    <row r="17" spans="2:10" x14ac:dyDescent="0.2">
      <c r="B17" s="1" t="s">
        <v>39</v>
      </c>
    </row>
    <row r="20" spans="2:10" x14ac:dyDescent="0.2">
      <c r="B20" s="1" t="s">
        <v>7</v>
      </c>
    </row>
    <row r="21" spans="2:10" x14ac:dyDescent="0.2">
      <c r="B21" s="1" t="s">
        <v>14</v>
      </c>
    </row>
    <row r="23" spans="2:10" x14ac:dyDescent="0.2">
      <c r="B23" s="16" t="s">
        <v>3</v>
      </c>
      <c r="C23" s="34" t="s">
        <v>13</v>
      </c>
      <c r="D23" s="35"/>
      <c r="E23" s="16" t="s">
        <v>8</v>
      </c>
      <c r="F23" s="16" t="s">
        <v>9</v>
      </c>
      <c r="G23" s="16" t="s">
        <v>11</v>
      </c>
      <c r="H23" s="16" t="s">
        <v>22</v>
      </c>
      <c r="I23" s="16" t="s">
        <v>12</v>
      </c>
      <c r="J23" s="16" t="s">
        <v>10</v>
      </c>
    </row>
    <row r="24" spans="2:10" x14ac:dyDescent="0.2">
      <c r="B24" s="7">
        <v>1</v>
      </c>
      <c r="C24" s="18" t="s">
        <v>40</v>
      </c>
      <c r="D24" s="21"/>
      <c r="E24" s="13">
        <v>9781685911492</v>
      </c>
      <c r="F24" s="7">
        <v>1</v>
      </c>
      <c r="G24" s="12">
        <v>149000</v>
      </c>
      <c r="H24" s="22">
        <v>0.35</v>
      </c>
      <c r="I24" s="12">
        <f t="shared" ref="I24:I32" si="0">(G24-(G24*H24))</f>
        <v>96850</v>
      </c>
      <c r="J24" s="12">
        <f t="shared" ref="J24:J32" si="1">(G24-(G24*H24))*(F24)</f>
        <v>96850</v>
      </c>
    </row>
    <row r="25" spans="2:10" x14ac:dyDescent="0.2">
      <c r="B25" s="7">
        <v>2</v>
      </c>
      <c r="C25" s="18" t="s">
        <v>51</v>
      </c>
      <c r="D25" s="21"/>
      <c r="E25" s="13">
        <v>9781685911515</v>
      </c>
      <c r="F25" s="7">
        <v>1</v>
      </c>
      <c r="G25" s="12">
        <v>149000</v>
      </c>
      <c r="H25" s="22">
        <v>0.35</v>
      </c>
      <c r="I25" s="12">
        <f t="shared" si="0"/>
        <v>96850</v>
      </c>
      <c r="J25" s="12">
        <f t="shared" si="1"/>
        <v>96850</v>
      </c>
    </row>
    <row r="26" spans="2:10" x14ac:dyDescent="0.2">
      <c r="B26" s="7">
        <v>3</v>
      </c>
      <c r="C26" s="18" t="s">
        <v>50</v>
      </c>
      <c r="D26" s="21"/>
      <c r="E26" s="13">
        <v>9781685911539</v>
      </c>
      <c r="F26" s="7">
        <v>1</v>
      </c>
      <c r="G26" s="12">
        <v>149000</v>
      </c>
      <c r="H26" s="22">
        <v>0.35</v>
      </c>
      <c r="I26" s="12">
        <f t="shared" si="0"/>
        <v>96850</v>
      </c>
      <c r="J26" s="12">
        <f t="shared" si="1"/>
        <v>96850</v>
      </c>
    </row>
    <row r="27" spans="2:10" x14ac:dyDescent="0.2">
      <c r="B27" s="7">
        <v>4</v>
      </c>
      <c r="C27" s="18" t="s">
        <v>49</v>
      </c>
      <c r="D27" s="21"/>
      <c r="E27" s="13">
        <v>9781685911553</v>
      </c>
      <c r="F27" s="7">
        <v>1</v>
      </c>
      <c r="G27" s="12">
        <v>149000</v>
      </c>
      <c r="H27" s="22">
        <v>0.35</v>
      </c>
      <c r="I27" s="12">
        <f t="shared" si="0"/>
        <v>96850</v>
      </c>
      <c r="J27" s="12">
        <f t="shared" si="1"/>
        <v>96850</v>
      </c>
    </row>
    <row r="28" spans="2:10" x14ac:dyDescent="0.2">
      <c r="B28" s="7">
        <v>5</v>
      </c>
      <c r="C28" s="18" t="s">
        <v>48</v>
      </c>
      <c r="D28" s="21"/>
      <c r="E28" s="13">
        <v>9781685911577</v>
      </c>
      <c r="F28" s="7">
        <v>1</v>
      </c>
      <c r="G28" s="12">
        <v>149000</v>
      </c>
      <c r="H28" s="22">
        <v>0.35</v>
      </c>
      <c r="I28" s="12">
        <f t="shared" si="0"/>
        <v>96850</v>
      </c>
      <c r="J28" s="12">
        <f t="shared" si="1"/>
        <v>96850</v>
      </c>
    </row>
    <row r="29" spans="2:10" x14ac:dyDescent="0.2">
      <c r="B29" s="7">
        <v>6</v>
      </c>
      <c r="C29" s="18" t="s">
        <v>47</v>
      </c>
      <c r="D29" s="21"/>
      <c r="E29" s="13">
        <v>9781685911591</v>
      </c>
      <c r="F29" s="7">
        <v>1</v>
      </c>
      <c r="G29" s="12">
        <v>149000</v>
      </c>
      <c r="H29" s="22">
        <v>0.35</v>
      </c>
      <c r="I29" s="12">
        <f t="shared" si="0"/>
        <v>96850</v>
      </c>
      <c r="J29" s="12">
        <f t="shared" si="1"/>
        <v>96850</v>
      </c>
    </row>
    <row r="30" spans="2:10" x14ac:dyDescent="0.2">
      <c r="B30" s="7">
        <v>7</v>
      </c>
      <c r="C30" s="18" t="s">
        <v>41</v>
      </c>
      <c r="D30" s="21"/>
      <c r="E30" s="13">
        <v>9781685911416</v>
      </c>
      <c r="F30" s="7">
        <v>1</v>
      </c>
      <c r="G30" s="12">
        <v>177000</v>
      </c>
      <c r="H30" s="22">
        <v>0.35</v>
      </c>
      <c r="I30" s="12">
        <f t="shared" si="0"/>
        <v>115050</v>
      </c>
      <c r="J30" s="12">
        <f t="shared" si="1"/>
        <v>115050</v>
      </c>
    </row>
    <row r="31" spans="2:10" x14ac:dyDescent="0.2">
      <c r="B31" s="7">
        <v>8</v>
      </c>
      <c r="C31" s="18" t="s">
        <v>46</v>
      </c>
      <c r="D31" s="21"/>
      <c r="E31" s="13">
        <v>9781685911430</v>
      </c>
      <c r="F31" s="7">
        <v>1</v>
      </c>
      <c r="G31" s="12">
        <v>177000</v>
      </c>
      <c r="H31" s="22">
        <v>0.35</v>
      </c>
      <c r="I31" s="12">
        <f t="shared" si="0"/>
        <v>115050</v>
      </c>
      <c r="J31" s="12">
        <f t="shared" si="1"/>
        <v>115050</v>
      </c>
    </row>
    <row r="32" spans="2:10" x14ac:dyDescent="0.2">
      <c r="B32" s="7">
        <v>9</v>
      </c>
      <c r="C32" s="18" t="s">
        <v>45</v>
      </c>
      <c r="D32" s="21"/>
      <c r="E32" s="13">
        <v>9781685911454</v>
      </c>
      <c r="F32" s="7">
        <v>1</v>
      </c>
      <c r="G32" s="12">
        <v>177000</v>
      </c>
      <c r="H32" s="22">
        <v>0.35</v>
      </c>
      <c r="I32" s="12">
        <f t="shared" si="0"/>
        <v>115050</v>
      </c>
      <c r="J32" s="12">
        <f t="shared" si="1"/>
        <v>115050</v>
      </c>
    </row>
    <row r="33" spans="2:10" x14ac:dyDescent="0.2">
      <c r="B33" s="7">
        <v>10</v>
      </c>
      <c r="C33" s="18" t="s">
        <v>42</v>
      </c>
      <c r="D33" s="18"/>
      <c r="E33" s="13">
        <v>9781685911423</v>
      </c>
      <c r="F33" s="7">
        <v>1</v>
      </c>
      <c r="G33" s="12">
        <v>128000</v>
      </c>
      <c r="H33" s="22">
        <v>0.35</v>
      </c>
      <c r="I33" s="12">
        <f>(G33-(G33*H33))</f>
        <v>83200</v>
      </c>
      <c r="J33" s="12">
        <f>(G33-(G33*H33))*(F33)</f>
        <v>83200</v>
      </c>
    </row>
    <row r="34" spans="2:10" x14ac:dyDescent="0.2">
      <c r="B34" s="7">
        <v>11</v>
      </c>
      <c r="C34" s="18" t="s">
        <v>43</v>
      </c>
      <c r="D34" s="18"/>
      <c r="E34" s="13">
        <v>9781685911447</v>
      </c>
      <c r="F34" s="7">
        <v>1</v>
      </c>
      <c r="G34" s="12">
        <v>128000</v>
      </c>
      <c r="H34" s="22">
        <v>0.35</v>
      </c>
      <c r="I34" s="12">
        <f t="shared" ref="I34:I35" si="2">(G34-(G34*H34))</f>
        <v>83200</v>
      </c>
      <c r="J34" s="12">
        <f t="shared" ref="J34:J35" si="3">(G34-(G34*H34))*(F34)</f>
        <v>83200</v>
      </c>
    </row>
    <row r="35" spans="2:10" x14ac:dyDescent="0.2">
      <c r="B35" s="7">
        <v>12</v>
      </c>
      <c r="C35" s="18" t="s">
        <v>44</v>
      </c>
      <c r="D35" s="18"/>
      <c r="E35" s="13">
        <v>9781685911461</v>
      </c>
      <c r="F35" s="7">
        <v>1</v>
      </c>
      <c r="G35" s="12">
        <v>128000</v>
      </c>
      <c r="H35" s="22">
        <v>0.35</v>
      </c>
      <c r="I35" s="12">
        <f t="shared" si="2"/>
        <v>83200</v>
      </c>
      <c r="J35" s="12">
        <f t="shared" si="3"/>
        <v>83200</v>
      </c>
    </row>
    <row r="36" spans="2:10" x14ac:dyDescent="0.2">
      <c r="G36" s="34" t="s">
        <v>16</v>
      </c>
      <c r="H36" s="35"/>
      <c r="I36" s="25">
        <f>SUM(J24:J35)</f>
        <v>1175850</v>
      </c>
      <c r="J36" s="26"/>
    </row>
    <row r="38" spans="2:10" x14ac:dyDescent="0.2">
      <c r="B38" s="14" t="s">
        <v>17</v>
      </c>
    </row>
    <row r="39" spans="2:10" x14ac:dyDescent="0.2">
      <c r="B39" s="1" t="s">
        <v>18</v>
      </c>
    </row>
    <row r="40" spans="2:10" x14ac:dyDescent="0.2">
      <c r="B40" s="1" t="s">
        <v>19</v>
      </c>
    </row>
    <row r="41" spans="2:10" x14ac:dyDescent="0.2">
      <c r="B41" s="2" t="s">
        <v>20</v>
      </c>
    </row>
    <row r="42" spans="2:10" x14ac:dyDescent="0.2">
      <c r="B42" s="15" t="s">
        <v>21</v>
      </c>
    </row>
    <row r="45" spans="2:10" x14ac:dyDescent="0.2">
      <c r="B45" s="1" t="s">
        <v>28</v>
      </c>
    </row>
    <row r="46" spans="2:10" x14ac:dyDescent="0.2">
      <c r="B46" s="1" t="s">
        <v>29</v>
      </c>
    </row>
    <row r="47" spans="2:10" x14ac:dyDescent="0.2">
      <c r="B47" s="1" t="s">
        <v>30</v>
      </c>
    </row>
    <row r="49" spans="2:9" x14ac:dyDescent="0.2">
      <c r="B49" s="1" t="s">
        <v>23</v>
      </c>
    </row>
    <row r="53" spans="2:9" x14ac:dyDescent="0.2">
      <c r="B53" s="1" t="s">
        <v>24</v>
      </c>
      <c r="H53" s="1" t="s">
        <v>26</v>
      </c>
    </row>
    <row r="56" spans="2:9" x14ac:dyDescent="0.2">
      <c r="I56" s="17"/>
    </row>
    <row r="57" spans="2:9" x14ac:dyDescent="0.2">
      <c r="B57" s="17" t="s">
        <v>33</v>
      </c>
      <c r="C57" s="17"/>
      <c r="D57" s="8"/>
      <c r="H57" s="17" t="s">
        <v>31</v>
      </c>
    </row>
    <row r="58" spans="2:9" x14ac:dyDescent="0.2">
      <c r="B58" s="17" t="s">
        <v>25</v>
      </c>
      <c r="C58" s="17"/>
      <c r="H58" s="1" t="s">
        <v>27</v>
      </c>
    </row>
  </sheetData>
  <mergeCells count="8">
    <mergeCell ref="I36:J36"/>
    <mergeCell ref="D4:G4"/>
    <mergeCell ref="B9:C9"/>
    <mergeCell ref="B10:C10"/>
    <mergeCell ref="B3:C5"/>
    <mergeCell ref="B8:C8"/>
    <mergeCell ref="C23:D23"/>
    <mergeCell ref="G36:H36"/>
  </mergeCells>
  <phoneticPr fontId="9" alignment="center"/>
  <hyperlinks>
    <hyperlink ref="D5" r:id="rId1" xr:uid="{C08A9E8C-6FE9-41B0-B7D0-7CB4785D8C08}"/>
  </hyperlinks>
  <pageMargins left="0.25" right="0.25" top="0.75" bottom="0.75" header="0.3" footer="0.3"/>
  <pageSetup paperSize="9" scale="64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Aldi</cp:lastModifiedBy>
  <cp:lastPrinted>2024-06-30T10:07:30Z</cp:lastPrinted>
  <dcterms:created xsi:type="dcterms:W3CDTF">2024-06-30T08:09:15Z</dcterms:created>
  <dcterms:modified xsi:type="dcterms:W3CDTF">2024-06-30T10:07:53Z</dcterms:modified>
</cp:coreProperties>
</file>